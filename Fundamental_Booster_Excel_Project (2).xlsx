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tudent Data" sheetId="2" state="visible" r:id="rId2"/>
    <sheet xmlns:r="http://schemas.openxmlformats.org/officeDocument/2006/relationships" name="Sales Data" sheetId="3" state="visible" r:id="rId3"/>
    <sheet xmlns:r="http://schemas.openxmlformats.org/officeDocument/2006/relationships" name="Product Data" sheetId="4" state="visible" r:id="rId4"/>
    <sheet xmlns:r="http://schemas.openxmlformats.org/officeDocument/2006/relationships" name="Employee Data" sheetId="5" state="visible" r:id="rId5"/>
    <sheet xmlns:r="http://schemas.openxmlformats.org/officeDocument/2006/relationships" name="Formula Tasks" sheetId="6" state="visible" r:id="rId6"/>
  </sheets>
  <definedNames>
    <definedName name="_xlnm._FilterDatabase" localSheetId="1" hidden="1">'Student Data'!$A$4:$L$16</definedName>
    <definedName name="_xlnm._FilterDatabase" localSheetId="2" hidden="1">'Sales Data'!$A$4:$K$16</definedName>
    <definedName name="_xlnm._FilterDatabase" localSheetId="4" hidden="1">'Employee Data'!$A$4:$J$12</definedName>
    <definedName name="_xlnm._FilterDatabase" localSheetId="5" hidden="1">'Formula Tasks'!$A$4:$E$22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$#,##0.00"/>
    <numFmt numFmtId="167" formatCode="$#,##0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i val="1"/>
      <color rgb="00666666"/>
    </font>
    <font>
      <b val="1"/>
      <color rgb="0017365D"/>
      <sz val="12"/>
    </font>
    <font>
      <b val="1"/>
      <color rgb="001F4E78"/>
    </font>
    <font>
      <b val="1"/>
      <color rgb="00FFFFFF"/>
    </font>
    <font>
      <b val="1"/>
    </font>
    <font>
      <name val="Consolas"/>
      <color rgb="00006100"/>
      <sz val="9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1F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4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166" fontId="0" fillId="0" borderId="2" applyAlignment="1" pivotButton="0" quotePrefix="0" xfId="0">
      <alignment vertical="center"/>
    </xf>
    <xf numFmtId="9" fontId="0" fillId="0" borderId="2" applyAlignment="1" pivotButton="0" quotePrefix="0" xfId="0">
      <alignment vertical="center"/>
    </xf>
    <xf numFmtId="165" fontId="0" fillId="4" borderId="2" applyAlignment="1" pivotButton="0" quotePrefix="0" xfId="0">
      <alignment vertical="center"/>
    </xf>
    <xf numFmtId="166" fontId="0" fillId="4" borderId="2" applyAlignment="1" pivotButton="0" quotePrefix="0" xfId="0">
      <alignment vertical="center"/>
    </xf>
    <xf numFmtId="9" fontId="0" fillId="4" borderId="2" applyAlignment="1" pivotButton="0" quotePrefix="0" xfId="0">
      <alignment vertical="center"/>
    </xf>
    <xf numFmtId="167" fontId="0" fillId="0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7" fontId="0" fillId="5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0" fontId="7" fillId="0" borderId="2" applyAlignment="1" pivotButton="0" quotePrefix="0" xfId="0">
      <alignment vertical="center"/>
    </xf>
    <xf numFmtId="0" fontId="7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20"/>
  <sheetViews>
    <sheetView showGridLines="0" zoomScale="90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FUNDAMENTAL BOOSTER — EXCEL PROJECT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A practical workbook for Excel formulas, lookups, text/date functions, dynamic references, and data analysis.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Project objective</t>
        </is>
      </c>
      <c r="B4" s="2" t="n"/>
      <c r="C4" s="2" t="n"/>
      <c r="D4" s="2" t="n"/>
      <c r="E4" s="2" t="n"/>
      <c r="F4" s="2" t="n"/>
    </row>
    <row r="5">
      <c r="A5" s="2" t="inlineStr">
        <is>
          <t>Use the sample student, sales, employee, and product datasets to practise the formula skills shown in the project brief.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4" t="inlineStr">
        <is>
          <t>Workbook guide</t>
        </is>
      </c>
      <c r="B7" s="2" t="n"/>
      <c r="C7" s="2" t="n"/>
      <c r="D7" s="2" t="n"/>
      <c r="E7" s="2" t="n"/>
      <c r="F7" s="2" t="n"/>
    </row>
    <row r="8">
      <c r="A8" s="5" t="inlineStr">
        <is>
          <t>Student Data</t>
        </is>
      </c>
      <c r="B8" s="2" t="inlineStr">
        <is>
          <t>Student marks, grade classification, AND/OR conditions, COUNTIFS, AVERAGEIFS, and FILTER.</t>
        </is>
      </c>
      <c r="C8" s="2" t="n"/>
      <c r="D8" s="2" t="n"/>
      <c r="E8" s="2" t="n"/>
      <c r="F8" s="2" t="n"/>
    </row>
    <row r="9">
      <c r="A9" s="5" t="inlineStr">
        <is>
          <t>Sales Data</t>
        </is>
      </c>
      <c r="B9" s="2" t="inlineStr">
        <is>
          <t>Sales totals, region/product SUMIFS, discounts, INDEX/MATCH, XLOOKUP, and OFFSET.</t>
        </is>
      </c>
      <c r="C9" s="2" t="n"/>
      <c r="D9" s="2" t="n"/>
      <c r="E9" s="2" t="n"/>
      <c r="F9" s="2" t="n"/>
    </row>
    <row r="10">
      <c r="A10" s="5" t="inlineStr">
        <is>
          <t>Employee Data</t>
        </is>
      </c>
      <c r="B10" s="2" t="inlineStr">
        <is>
          <t>Employee salary lookup, joining dates, age/date calculations, and dynamic references.</t>
        </is>
      </c>
      <c r="C10" s="2" t="n"/>
      <c r="D10" s="2" t="n"/>
      <c r="E10" s="2" t="n"/>
      <c r="F10" s="2" t="n"/>
    </row>
    <row r="11">
      <c r="A11" s="5" t="inlineStr">
        <is>
          <t>Product Data</t>
        </is>
      </c>
      <c r="B11" s="2" t="inlineStr">
        <is>
          <t>Product-code VLOOKUP/XLOOKUP, product eligibility, rounding, and XMATCH.</t>
        </is>
      </c>
      <c r="C11" s="2" t="n"/>
      <c r="D11" s="2" t="n"/>
      <c r="E11" s="2" t="n"/>
      <c r="F11" s="2" t="n"/>
    </row>
    <row r="12">
      <c r="A12" s="5" t="inlineStr">
        <is>
          <t>Formula Tasks</t>
        </is>
      </c>
      <c r="B12" s="2" t="inlineStr">
        <is>
          <t>A formula checklist with example formulas and the expected task purpose.</t>
        </is>
      </c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4" t="inlineStr">
        <is>
          <t>How to use</t>
        </is>
      </c>
      <c r="B15" s="2" t="n"/>
      <c r="C15" s="2" t="n"/>
      <c r="D15" s="2" t="n"/>
      <c r="E15" s="2" t="n"/>
      <c r="F15" s="2" t="n"/>
    </row>
    <row r="16">
      <c r="A16" s="2" t="inlineStr">
        <is>
          <t>1. Open each data sheet and review the sample records.</t>
        </is>
      </c>
      <c r="B16" s="2" t="n"/>
      <c r="C16" s="2" t="n"/>
      <c r="D16" s="2" t="n"/>
      <c r="E16" s="2" t="n"/>
      <c r="F16" s="2" t="n"/>
    </row>
    <row r="17">
      <c r="A17" s="2" t="inlineStr">
        <is>
          <t>2. Formula columns are already populated as examples; select a cell to inspect the formula in the formula bar.</t>
        </is>
      </c>
      <c r="B17" s="2" t="n"/>
      <c r="C17" s="2" t="n"/>
      <c r="D17" s="2" t="n"/>
      <c r="E17" s="2" t="n"/>
      <c r="F17" s="2" t="n"/>
    </row>
    <row r="18">
      <c r="A18" s="2" t="inlineStr">
        <is>
          <t>3. Change the sample input values to see how formula results recalculate in Excel.</t>
        </is>
      </c>
      <c r="B18" s="2" t="n"/>
      <c r="C18" s="2" t="n"/>
      <c r="D18" s="2" t="n"/>
      <c r="E18" s="2" t="n"/>
      <c r="F18" s="2" t="n"/>
    </row>
    <row r="19">
      <c r="A19" s="2" t="inlineStr">
        <is>
          <t>4. FILTER and XLOOKUP require Microsoft 365 or a compatible recent Excel version.</t>
        </is>
      </c>
      <c r="B19" s="2" t="n"/>
      <c r="C19" s="2" t="n"/>
      <c r="D19" s="2" t="n"/>
      <c r="E19" s="2" t="n"/>
      <c r="F19" s="2" t="n"/>
    </row>
    <row r="20">
      <c r="A20" s="2" t="inlineStr">
        <is>
          <t>5. If formulas do not calculate immediately, set Formulas → Calculation Options → Automatic.</t>
        </is>
      </c>
      <c r="B20" s="2" t="n"/>
      <c r="C20" s="2" t="n"/>
      <c r="D20" s="2" t="n"/>
      <c r="E20" s="2" t="n"/>
      <c r="F20" s="2" t="n"/>
    </row>
  </sheetData>
  <mergeCells count="13">
    <mergeCell ref="A2:F2"/>
    <mergeCell ref="A16:F16"/>
    <mergeCell ref="B12:F12"/>
    <mergeCell ref="A19:F19"/>
    <mergeCell ref="B10:F10"/>
    <mergeCell ref="A1:F1"/>
    <mergeCell ref="A5:F5"/>
    <mergeCell ref="B11:F11"/>
    <mergeCell ref="A17:F17"/>
    <mergeCell ref="A18:F18"/>
    <mergeCell ref="B8:F8"/>
    <mergeCell ref="A20:F20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S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2" customWidth="1" min="9" max="9"/>
    <col width="20" customWidth="1" min="10" max="10"/>
    <col width="22" customWidth="1" min="11" max="11"/>
    <col width="14" customWidth="1" min="12" max="12"/>
    <col width="32" customWidth="1" min="14" max="14"/>
    <col width="20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32" customHeight="1">
      <c r="A1" s="6" t="inlineStr">
        <is>
          <t>STUDENT PERFORMANCE ANALYSIS</t>
        </is>
      </c>
    </row>
    <row r="2" ht="22" customHeight="1">
      <c r="A2" s="3" t="inlineStr">
        <is>
          <t>Practice IF, nested IF, AND/OR, COUNTIFS, AVERAGEIFS, TEXT, and FILTER.</t>
        </is>
      </c>
    </row>
    <row r="3"/>
    <row r="4" ht="28" customHeight="1">
      <c r="A4" s="7" t="inlineStr">
        <is>
          <t>Student ID</t>
        </is>
      </c>
      <c r="B4" s="7" t="inlineStr">
        <is>
          <t>Student Name</t>
        </is>
      </c>
      <c r="C4" s="7" t="inlineStr">
        <is>
          <t>Math</t>
        </is>
      </c>
      <c r="D4" s="7" t="inlineStr">
        <is>
          <t>Science</t>
        </is>
      </c>
      <c r="E4" s="7" t="inlineStr">
        <is>
          <t>English</t>
        </is>
      </c>
      <c r="F4" s="7" t="inlineStr">
        <is>
          <t>Total</t>
        </is>
      </c>
      <c r="G4" s="7" t="inlineStr">
        <is>
          <t>Average</t>
        </is>
      </c>
      <c r="H4" s="7" t="inlineStr">
        <is>
          <t>Grade</t>
        </is>
      </c>
      <c r="I4" s="7" t="inlineStr">
        <is>
          <t>Above 60?</t>
        </is>
      </c>
      <c r="J4" s="7" t="inlineStr">
        <is>
          <t>Math &amp; Science &gt;80?</t>
        </is>
      </c>
      <c r="K4" s="7" t="inlineStr">
        <is>
          <t>Full Name (UPPER)</t>
        </is>
      </c>
      <c r="L4" s="7" t="inlineStr">
        <is>
          <t>First Name</t>
        </is>
      </c>
      <c r="N4" s="8" t="inlineStr">
        <is>
          <t>Summary / Dynamic Results</t>
        </is>
      </c>
    </row>
    <row r="5">
      <c r="A5" s="9" t="n">
        <v>1001</v>
      </c>
      <c r="B5" s="9" t="inlineStr">
        <is>
          <t>Aarav Shah</t>
        </is>
      </c>
      <c r="C5" s="9" t="n">
        <v>88</v>
      </c>
      <c r="D5" s="9" t="n">
        <v>92</v>
      </c>
      <c r="E5" s="9" t="n">
        <v>81</v>
      </c>
      <c r="F5" s="9">
        <f>SUM(C5:E5)</f>
        <v/>
      </c>
      <c r="G5" s="9">
        <f>AVERAGE(C5:E5)</f>
        <v/>
      </c>
      <c r="H5" s="9">
        <f>IF(G5&gt;=90,"A",IF(G5&gt;=80,"B",IF(G5&gt;=70,"C",IF(G5&gt;=60,"D","F"))))</f>
        <v/>
      </c>
      <c r="I5" s="9">
        <f>IF(G5&gt;60,"Yes","No")</f>
        <v/>
      </c>
      <c r="J5" s="9">
        <f>IF(AND(C5&gt;80,D5&gt;80),"Yes","No")</f>
        <v/>
      </c>
      <c r="K5" s="9">
        <f>UPPER(B5)</f>
        <v/>
      </c>
      <c r="L5" s="9">
        <f>LEFT(B5,FIND(" ",B5&amp;" ")-1)</f>
        <v/>
      </c>
      <c r="N5" s="10" t="inlineStr">
        <is>
          <t>Students scoring above 60</t>
        </is>
      </c>
      <c r="O5" s="11">
        <f>COUNTIFS(G5:G16,"&gt;60")</f>
        <v/>
      </c>
    </row>
    <row r="6">
      <c r="A6" s="12" t="n">
        <v>1002</v>
      </c>
      <c r="B6" s="12" t="inlineStr">
        <is>
          <t>Diya Patel</t>
        </is>
      </c>
      <c r="C6" s="12" t="n">
        <v>76</v>
      </c>
      <c r="D6" s="12" t="n">
        <v>84</v>
      </c>
      <c r="E6" s="12" t="n">
        <v>90</v>
      </c>
      <c r="F6" s="12">
        <f>SUM(C6:E6)</f>
        <v/>
      </c>
      <c r="G6" s="12">
        <f>AVERAGE(C6:E6)</f>
        <v/>
      </c>
      <c r="H6" s="12">
        <f>IF(G6&gt;=90,"A",IF(G6&gt;=80,"B",IF(G6&gt;=70,"C",IF(G6&gt;=60,"D","F"))))</f>
        <v/>
      </c>
      <c r="I6" s="12">
        <f>IF(G6&gt;60,"Yes","No")</f>
        <v/>
      </c>
      <c r="J6" s="12">
        <f>IF(AND(C6&gt;80,D6&gt;80),"Yes","No")</f>
        <v/>
      </c>
      <c r="K6" s="12">
        <f>UPPER(B6)</f>
        <v/>
      </c>
      <c r="L6" s="12">
        <f>LEFT(B6,FIND(" ",B6&amp;" ")-1)</f>
        <v/>
      </c>
      <c r="N6" s="10" t="inlineStr">
        <is>
          <t>Math scores above 50</t>
        </is>
      </c>
      <c r="O6" s="11">
        <f>COUNTIFS(C5:C16,"&gt;50")</f>
        <v/>
      </c>
    </row>
    <row r="7">
      <c r="A7" s="9" t="n">
        <v>1003</v>
      </c>
      <c r="B7" s="9" t="inlineStr">
        <is>
          <t>Kabir Mehta</t>
        </is>
      </c>
      <c r="C7" s="9" t="n">
        <v>59</v>
      </c>
      <c r="D7" s="9" t="n">
        <v>64</v>
      </c>
      <c r="E7" s="9" t="n">
        <v>72</v>
      </c>
      <c r="F7" s="9">
        <f>SUM(C7:E7)</f>
        <v/>
      </c>
      <c r="G7" s="9">
        <f>AVERAGE(C7:E7)</f>
        <v/>
      </c>
      <c r="H7" s="9">
        <f>IF(G7&gt;=90,"A",IF(G7&gt;=80,"B",IF(G7&gt;=70,"C",IF(G7&gt;=60,"D","F"))))</f>
        <v/>
      </c>
      <c r="I7" s="9">
        <f>IF(G7&gt;60,"Yes","No")</f>
        <v/>
      </c>
      <c r="J7" s="9">
        <f>IF(AND(C7&gt;80,D7&gt;80),"Yes","No")</f>
        <v/>
      </c>
      <c r="K7" s="9">
        <f>UPPER(B7)</f>
        <v/>
      </c>
      <c r="L7" s="9">
        <f>LEFT(B7,FIND(" ",B7&amp;" ")-1)</f>
        <v/>
      </c>
      <c r="N7" s="10" t="inlineStr">
        <is>
          <t>Average score when average &gt;60</t>
        </is>
      </c>
      <c r="O7" s="11">
        <f>AVERAGEIFS(G5:G16,G5:G16,"&gt;60")</f>
        <v/>
      </c>
    </row>
    <row r="8">
      <c r="A8" s="12" t="n">
        <v>1004</v>
      </c>
      <c r="B8" s="12" t="inlineStr">
        <is>
          <t>Anaya Joshi</t>
        </is>
      </c>
      <c r="C8" s="12" t="n">
        <v>95</v>
      </c>
      <c r="D8" s="12" t="n">
        <v>89</v>
      </c>
      <c r="E8" s="12" t="n">
        <v>94</v>
      </c>
      <c r="F8" s="12">
        <f>SUM(C8:E8)</f>
        <v/>
      </c>
      <c r="G8" s="12">
        <f>AVERAGE(C8:E8)</f>
        <v/>
      </c>
      <c r="H8" s="12">
        <f>IF(G8&gt;=90,"A",IF(G8&gt;=80,"B",IF(G8&gt;=70,"C",IF(G8&gt;=60,"D","F"))))</f>
        <v/>
      </c>
      <c r="I8" s="12">
        <f>IF(G8&gt;60,"Yes","No")</f>
        <v/>
      </c>
      <c r="J8" s="12">
        <f>IF(AND(C8&gt;80,D8&gt;80),"Yes","No")</f>
        <v/>
      </c>
      <c r="K8" s="12">
        <f>UPPER(B8)</f>
        <v/>
      </c>
      <c r="L8" s="12">
        <f>LEFT(B8,FIND(" ",B8&amp;" ")-1)</f>
        <v/>
      </c>
      <c r="N8" s="10" t="inlineStr">
        <is>
          <t>Students with Math &amp; Science &gt;80</t>
        </is>
      </c>
      <c r="O8" s="11">
        <f>COUNTIFS(C5:C16,"&gt;80",D5:D16,"&gt;80")</f>
        <v/>
      </c>
    </row>
    <row r="9">
      <c r="A9" s="9" t="n">
        <v>1005</v>
      </c>
      <c r="B9" s="9" t="inlineStr">
        <is>
          <t>Ishaan Desai</t>
        </is>
      </c>
      <c r="C9" s="9" t="n">
        <v>45</v>
      </c>
      <c r="D9" s="9" t="n">
        <v>57</v>
      </c>
      <c r="E9" s="9" t="n">
        <v>61</v>
      </c>
      <c r="F9" s="9">
        <f>SUM(C9:E9)</f>
        <v/>
      </c>
      <c r="G9" s="9">
        <f>AVERAGE(C9:E9)</f>
        <v/>
      </c>
      <c r="H9" s="9">
        <f>IF(G9&gt;=90,"A",IF(G9&gt;=80,"B",IF(G9&gt;=70,"C",IF(G9&gt;=60,"D","F"))))</f>
        <v/>
      </c>
      <c r="I9" s="9">
        <f>IF(G9&gt;60,"Yes","No")</f>
        <v/>
      </c>
      <c r="J9" s="9">
        <f>IF(AND(C9&gt;80,D9&gt;80),"Yes","No")</f>
        <v/>
      </c>
      <c r="K9" s="9">
        <f>UPPER(B9)</f>
        <v/>
      </c>
      <c r="L9" s="9">
        <f>LEFT(B9,FIND(" ",B9&amp;" ")-1)</f>
        <v/>
      </c>
    </row>
    <row r="10">
      <c r="A10" s="12" t="n">
        <v>1006</v>
      </c>
      <c r="B10" s="12" t="inlineStr">
        <is>
          <t>Myra Shah</t>
        </is>
      </c>
      <c r="C10" s="12" t="n">
        <v>82</v>
      </c>
      <c r="D10" s="12" t="n">
        <v>79</v>
      </c>
      <c r="E10" s="12" t="n">
        <v>86</v>
      </c>
      <c r="F10" s="12">
        <f>SUM(C10:E10)</f>
        <v/>
      </c>
      <c r="G10" s="12">
        <f>AVERAGE(C10:E10)</f>
        <v/>
      </c>
      <c r="H10" s="12">
        <f>IF(G10&gt;=90,"A",IF(G10&gt;=80,"B",IF(G10&gt;=70,"C",IF(G10&gt;=60,"D","F"))))</f>
        <v/>
      </c>
      <c r="I10" s="12">
        <f>IF(G10&gt;60,"Yes","No")</f>
        <v/>
      </c>
      <c r="J10" s="12">
        <f>IF(AND(C10&gt;80,D10&gt;80),"Yes","No")</f>
        <v/>
      </c>
      <c r="K10" s="12">
        <f>UPPER(B10)</f>
        <v/>
      </c>
      <c r="L10" s="12">
        <f>LEFT(B10,FIND(" ",B10&amp;" ")-1)</f>
        <v/>
      </c>
    </row>
    <row r="11">
      <c r="A11" s="9" t="n">
        <v>1007</v>
      </c>
      <c r="B11" s="9" t="inlineStr">
        <is>
          <t>Vivaan Patel</t>
        </is>
      </c>
      <c r="C11" s="9" t="n">
        <v>67</v>
      </c>
      <c r="D11" s="9" t="n">
        <v>73</v>
      </c>
      <c r="E11" s="9" t="n">
        <v>58</v>
      </c>
      <c r="F11" s="9">
        <f>SUM(C11:E11)</f>
        <v/>
      </c>
      <c r="G11" s="9">
        <f>AVERAGE(C11:E11)</f>
        <v/>
      </c>
      <c r="H11" s="9">
        <f>IF(G11&gt;=90,"A",IF(G11&gt;=80,"B",IF(G11&gt;=70,"C",IF(G11&gt;=60,"D","F"))))</f>
        <v/>
      </c>
      <c r="I11" s="9">
        <f>IF(G11&gt;60,"Yes","No")</f>
        <v/>
      </c>
      <c r="J11" s="9">
        <f>IF(AND(C11&gt;80,D11&gt;80),"Yes","No")</f>
        <v/>
      </c>
      <c r="K11" s="9">
        <f>UPPER(B11)</f>
        <v/>
      </c>
      <c r="L11" s="9">
        <f>LEFT(B11,FIND(" ",B11&amp;" ")-1)</f>
        <v/>
      </c>
      <c r="N11" s="8" t="inlineStr">
        <is>
          <t>Top-performing students (Average &gt;80)</t>
        </is>
      </c>
    </row>
    <row r="12">
      <c r="A12" s="12" t="n">
        <v>1008</v>
      </c>
      <c r="B12" s="12" t="inlineStr">
        <is>
          <t>Sara Mehta</t>
        </is>
      </c>
      <c r="C12" s="12" t="n">
        <v>91</v>
      </c>
      <c r="D12" s="12" t="n">
        <v>96</v>
      </c>
      <c r="E12" s="12" t="n">
        <v>88</v>
      </c>
      <c r="F12" s="12">
        <f>SUM(C12:E12)</f>
        <v/>
      </c>
      <c r="G12" s="12">
        <f>AVERAGE(C12:E12)</f>
        <v/>
      </c>
      <c r="H12" s="12">
        <f>IF(G12&gt;=90,"A",IF(G12&gt;=80,"B",IF(G12&gt;=70,"C",IF(G12&gt;=60,"D","F"))))</f>
        <v/>
      </c>
      <c r="I12" s="12">
        <f>IF(G12&gt;60,"Yes","No")</f>
        <v/>
      </c>
      <c r="J12" s="12">
        <f>IF(AND(C12&gt;80,D12&gt;80),"Yes","No")</f>
        <v/>
      </c>
      <c r="K12" s="12">
        <f>UPPER(B12)</f>
        <v/>
      </c>
      <c r="L12" s="12">
        <f>LEFT(B12,FIND(" ",B12&amp;" ")-1)</f>
        <v/>
      </c>
      <c r="N12" s="2">
        <f>FILTER(A5:L16,G5:G16&gt;80,"No matching students")</f>
        <v/>
      </c>
    </row>
    <row r="13">
      <c r="A13" s="9" t="n">
        <v>1009</v>
      </c>
      <c r="B13" s="9" t="inlineStr">
        <is>
          <t>Arjun Joshi</t>
        </is>
      </c>
      <c r="C13" s="9" t="n">
        <v>52</v>
      </c>
      <c r="D13" s="9" t="n">
        <v>48</v>
      </c>
      <c r="E13" s="9" t="n">
        <v>66</v>
      </c>
      <c r="F13" s="9">
        <f>SUM(C13:E13)</f>
        <v/>
      </c>
      <c r="G13" s="9">
        <f>AVERAGE(C13:E13)</f>
        <v/>
      </c>
      <c r="H13" s="9">
        <f>IF(G13&gt;=90,"A",IF(G13&gt;=80,"B",IF(G13&gt;=70,"C",IF(G13&gt;=60,"D","F"))))</f>
        <v/>
      </c>
      <c r="I13" s="9">
        <f>IF(G13&gt;60,"Yes","No")</f>
        <v/>
      </c>
      <c r="J13" s="9">
        <f>IF(AND(C13&gt;80,D13&gt;80),"Yes","No")</f>
        <v/>
      </c>
      <c r="K13" s="9">
        <f>UPPER(B13)</f>
        <v/>
      </c>
      <c r="L13" s="9">
        <f>LEFT(B13,FIND(" ",B13&amp;" ")-1)</f>
        <v/>
      </c>
    </row>
    <row r="14">
      <c r="A14" s="12" t="n">
        <v>1010</v>
      </c>
      <c r="B14" s="12" t="inlineStr">
        <is>
          <t>Kiara Desai</t>
        </is>
      </c>
      <c r="C14" s="12" t="n">
        <v>78</v>
      </c>
      <c r="D14" s="12" t="n">
        <v>83</v>
      </c>
      <c r="E14" s="12" t="n">
        <v>80</v>
      </c>
      <c r="F14" s="12">
        <f>SUM(C14:E14)</f>
        <v/>
      </c>
      <c r="G14" s="12">
        <f>AVERAGE(C14:E14)</f>
        <v/>
      </c>
      <c r="H14" s="12">
        <f>IF(G14&gt;=90,"A",IF(G14&gt;=80,"B",IF(G14&gt;=70,"C",IF(G14&gt;=60,"D","F"))))</f>
        <v/>
      </c>
      <c r="I14" s="12">
        <f>IF(G14&gt;60,"Yes","No")</f>
        <v/>
      </c>
      <c r="J14" s="12">
        <f>IF(AND(C14&gt;80,D14&gt;80),"Yes","No")</f>
        <v/>
      </c>
      <c r="K14" s="12">
        <f>UPPER(B14)</f>
        <v/>
      </c>
      <c r="L14" s="12">
        <f>LEFT(B14,FIND(" ",B14&amp;" ")-1)</f>
        <v/>
      </c>
    </row>
    <row r="15">
      <c r="A15" s="9" t="n">
        <v>1011</v>
      </c>
      <c r="B15" s="9" t="inlineStr">
        <is>
          <t>Reyansh Shah</t>
        </is>
      </c>
      <c r="C15" s="9" t="n">
        <v>86</v>
      </c>
      <c r="D15" s="9" t="n">
        <v>87</v>
      </c>
      <c r="E15" s="9" t="n">
        <v>91</v>
      </c>
      <c r="F15" s="9">
        <f>SUM(C15:E15)</f>
        <v/>
      </c>
      <c r="G15" s="9">
        <f>AVERAGE(C15:E15)</f>
        <v/>
      </c>
      <c r="H15" s="9">
        <f>IF(G15&gt;=90,"A",IF(G15&gt;=80,"B",IF(G15&gt;=70,"C",IF(G15&gt;=60,"D","F"))))</f>
        <v/>
      </c>
      <c r="I15" s="9">
        <f>IF(G15&gt;60,"Yes","No")</f>
        <v/>
      </c>
      <c r="J15" s="9">
        <f>IF(AND(C15&gt;80,D15&gt;80),"Yes","No")</f>
        <v/>
      </c>
      <c r="K15" s="9">
        <f>UPPER(B15)</f>
        <v/>
      </c>
      <c r="L15" s="9">
        <f>LEFT(B15,FIND(" ",B15&amp;" ")-1)</f>
        <v/>
      </c>
    </row>
    <row r="16">
      <c r="A16" s="12" t="n">
        <v>1012</v>
      </c>
      <c r="B16" s="12" t="inlineStr">
        <is>
          <t>Aditi Patel</t>
        </is>
      </c>
      <c r="C16" s="12" t="n">
        <v>63</v>
      </c>
      <c r="D16" s="12" t="n">
        <v>69</v>
      </c>
      <c r="E16" s="12" t="n">
        <v>74</v>
      </c>
      <c r="F16" s="12">
        <f>SUM(C16:E16)</f>
        <v/>
      </c>
      <c r="G16" s="12">
        <f>AVERAGE(C16:E16)</f>
        <v/>
      </c>
      <c r="H16" s="12">
        <f>IF(G16&gt;=90,"A",IF(G16&gt;=80,"B",IF(G16&gt;=70,"C",IF(G16&gt;=60,"D","F"))))</f>
        <v/>
      </c>
      <c r="I16" s="12">
        <f>IF(G16&gt;60,"Yes","No")</f>
        <v/>
      </c>
      <c r="J16" s="12">
        <f>IF(AND(C16&gt;80,D16&gt;80),"Yes","No")</f>
        <v/>
      </c>
      <c r="K16" s="12">
        <f>UPPER(B16)</f>
        <v/>
      </c>
      <c r="L16" s="12">
        <f>LEFT(B16,FIND(" ",B16&amp;" ")-1)</f>
        <v/>
      </c>
    </row>
  </sheetData>
  <autoFilter ref="A4:L16"/>
  <mergeCells count="3">
    <mergeCell ref="A2:F2"/>
    <mergeCell ref="A1:F1"/>
    <mergeCell ref="N12:S12"/>
  </mergeCells>
  <conditionalFormatting sqref="G5:G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N1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6" customWidth="1" min="5" max="5"/>
    <col width="10" customWidth="1" min="6" max="6"/>
    <col width="13" customWidth="1" min="7" max="7"/>
    <col width="14" customWidth="1" min="8" max="8"/>
    <col width="12" customWidth="1" min="9" max="9"/>
    <col width="14" customWidth="1" min="10" max="10"/>
    <col width="10" customWidth="1" min="11" max="11"/>
    <col width="30" customWidth="1" min="13" max="13"/>
    <col width="22" customWidth="1" min="14" max="14"/>
  </cols>
  <sheetData>
    <row r="1" ht="32" customHeight="1">
      <c r="A1" s="6" t="inlineStr">
        <is>
          <t>SALES ANALYSIS</t>
        </is>
      </c>
    </row>
    <row r="2" ht="22" customHeight="1">
      <c r="A2" s="3" t="inlineStr">
        <is>
          <t>Practice SUMIFS, INDEX/MATCH, XLOOKUP, IF/OR discounts, and OFFSET.</t>
        </is>
      </c>
    </row>
    <row r="3"/>
    <row r="4" ht="28" customHeight="1">
      <c r="A4" s="7" t="inlineStr">
        <is>
          <t>Date</t>
        </is>
      </c>
      <c r="B4" s="7" t="inlineStr">
        <is>
          <t>Salesperson</t>
        </is>
      </c>
      <c r="C4" s="7" t="inlineStr">
        <is>
          <t>Region</t>
        </is>
      </c>
      <c r="D4" s="7" t="inlineStr">
        <is>
          <t>Product Code</t>
        </is>
      </c>
      <c r="E4" s="7" t="inlineStr">
        <is>
          <t>Product</t>
        </is>
      </c>
      <c r="F4" s="7" t="inlineStr">
        <is>
          <t>Units</t>
        </is>
      </c>
      <c r="G4" s="7" t="inlineStr">
        <is>
          <t>Unit Price</t>
        </is>
      </c>
      <c r="H4" s="7" t="inlineStr">
        <is>
          <t>Sales Total</t>
        </is>
      </c>
      <c r="I4" s="7" t="inlineStr">
        <is>
          <t>Discount %</t>
        </is>
      </c>
      <c r="J4" s="7" t="inlineStr">
        <is>
          <t>Net Sales</t>
        </is>
      </c>
      <c r="K4" s="7" t="inlineStr">
        <is>
          <t>Month</t>
        </is>
      </c>
      <c r="M4" s="8" t="inlineStr">
        <is>
          <t>Sales Insights</t>
        </is>
      </c>
    </row>
    <row r="5">
      <c r="A5" s="13" t="n">
        <v>46027</v>
      </c>
      <c r="B5" s="9" t="inlineStr">
        <is>
          <t>Neha</t>
        </is>
      </c>
      <c r="C5" s="9" t="inlineStr">
        <is>
          <t>North</t>
        </is>
      </c>
      <c r="D5" s="9" t="inlineStr">
        <is>
          <t>P101</t>
        </is>
      </c>
      <c r="E5" s="9" t="inlineStr">
        <is>
          <t>Notebook</t>
        </is>
      </c>
      <c r="F5" s="9" t="n">
        <v>30</v>
      </c>
      <c r="G5" s="14" t="n">
        <v>2.5</v>
      </c>
      <c r="H5" s="14">
        <f>F5*G5</f>
        <v/>
      </c>
      <c r="I5" s="15">
        <f>IF(OR(H5&gt;=500,C5="North"),10%,0%)</f>
        <v/>
      </c>
      <c r="J5" s="14">
        <f>H5*(1-I5)</f>
        <v/>
      </c>
      <c r="K5" s="9">
        <f>TEXT(A5,"mmm")</f>
        <v/>
      </c>
      <c r="M5" s="10" t="inlineStr">
        <is>
          <t>Total sales</t>
        </is>
      </c>
      <c r="N5" s="11">
        <f>SUM(H5:H16)</f>
        <v/>
      </c>
    </row>
    <row r="6">
      <c r="A6" s="16" t="n">
        <v>46034</v>
      </c>
      <c r="B6" s="12" t="inlineStr">
        <is>
          <t>Rahul</t>
        </is>
      </c>
      <c r="C6" s="12" t="inlineStr">
        <is>
          <t>South</t>
        </is>
      </c>
      <c r="D6" s="12" t="inlineStr">
        <is>
          <t>P102</t>
        </is>
      </c>
      <c r="E6" s="12" t="inlineStr">
        <is>
          <t>Pen Set</t>
        </is>
      </c>
      <c r="F6" s="12" t="n">
        <v>45</v>
      </c>
      <c r="G6" s="17" t="n">
        <v>4</v>
      </c>
      <c r="H6" s="17">
        <f>F6*G6</f>
        <v/>
      </c>
      <c r="I6" s="18">
        <f>IF(OR(H6&gt;=500,C6="North"),10%,0%)</f>
        <v/>
      </c>
      <c r="J6" s="17">
        <f>H6*(1-I6)</f>
        <v/>
      </c>
      <c r="K6" s="12">
        <f>TEXT(A6,"mmm")</f>
        <v/>
      </c>
      <c r="M6" s="10" t="inlineStr">
        <is>
          <t>Net sales</t>
        </is>
      </c>
      <c r="N6" s="11">
        <f>SUM(J5:J16)</f>
        <v/>
      </c>
    </row>
    <row r="7">
      <c r="A7" s="13" t="n">
        <v>46055</v>
      </c>
      <c r="B7" s="9" t="inlineStr">
        <is>
          <t>Neha</t>
        </is>
      </c>
      <c r="C7" s="9" t="inlineStr">
        <is>
          <t>North</t>
        </is>
      </c>
      <c r="D7" s="9" t="inlineStr">
        <is>
          <t>P103</t>
        </is>
      </c>
      <c r="E7" s="9" t="inlineStr">
        <is>
          <t>Backpack</t>
        </is>
      </c>
      <c r="F7" s="9" t="n">
        <v>8</v>
      </c>
      <c r="G7" s="14" t="n">
        <v>28</v>
      </c>
      <c r="H7" s="14">
        <f>F7*G7</f>
        <v/>
      </c>
      <c r="I7" s="15">
        <f>IF(OR(H7&gt;=500,C7="North"),10%,0%)</f>
        <v/>
      </c>
      <c r="J7" s="14">
        <f>H7*(1-I7)</f>
        <v/>
      </c>
      <c r="K7" s="9">
        <f>TEXT(A7,"mmm")</f>
        <v/>
      </c>
      <c r="M7" s="10" t="inlineStr">
        <is>
          <t>North region + Notebook</t>
        </is>
      </c>
      <c r="N7" s="11">
        <f>SUMIFS(H5:H16,C5:C16,"North",E5:E16,"Notebook")</f>
        <v/>
      </c>
    </row>
    <row r="8">
      <c r="A8" s="16" t="n">
        <v>46071</v>
      </c>
      <c r="B8" s="12" t="inlineStr">
        <is>
          <t>Omar</t>
        </is>
      </c>
      <c r="C8" s="12" t="inlineStr">
        <is>
          <t>West</t>
        </is>
      </c>
      <c r="D8" s="12" t="inlineStr">
        <is>
          <t>P101</t>
        </is>
      </c>
      <c r="E8" s="12" t="inlineStr">
        <is>
          <t>Notebook</t>
        </is>
      </c>
      <c r="F8" s="12" t="n">
        <v>55</v>
      </c>
      <c r="G8" s="17" t="n">
        <v>2.5</v>
      </c>
      <c r="H8" s="17">
        <f>F8*G8</f>
        <v/>
      </c>
      <c r="I8" s="18">
        <f>IF(OR(H8&gt;=500,C8="North"),10%,0%)</f>
        <v/>
      </c>
      <c r="J8" s="17">
        <f>H8*(1-I8)</f>
        <v/>
      </c>
      <c r="K8" s="12">
        <f>TEXT(A8,"mmm")</f>
        <v/>
      </c>
      <c r="M8" s="10" t="inlineStr">
        <is>
          <t>Sales average</t>
        </is>
      </c>
      <c r="N8" s="11">
        <f>AVERAGE(H5:H16)</f>
        <v/>
      </c>
    </row>
    <row r="9">
      <c r="A9" s="13" t="n">
        <v>46088</v>
      </c>
      <c r="B9" s="9" t="inlineStr">
        <is>
          <t>Priya</t>
        </is>
      </c>
      <c r="C9" s="9" t="inlineStr">
        <is>
          <t>East</t>
        </is>
      </c>
      <c r="D9" s="9" t="inlineStr">
        <is>
          <t>P104</t>
        </is>
      </c>
      <c r="E9" s="9" t="inlineStr">
        <is>
          <t>Calculator</t>
        </is>
      </c>
      <c r="F9" s="9" t="n">
        <v>12</v>
      </c>
      <c r="G9" s="14" t="n">
        <v>15</v>
      </c>
      <c r="H9" s="14">
        <f>F9*G9</f>
        <v/>
      </c>
      <c r="I9" s="15">
        <f>IF(OR(H9&gt;=500,C9="North"),10%,0%)</f>
        <v/>
      </c>
      <c r="J9" s="14">
        <f>H9*(1-I9)</f>
        <v/>
      </c>
      <c r="K9" s="9">
        <f>TEXT(A9,"mmm")</f>
        <v/>
      </c>
      <c r="M9" s="10" t="inlineStr">
        <is>
          <t>Neha sales in February</t>
        </is>
      </c>
      <c r="N9" s="11">
        <f>INDEX(H5:H16,MATCH(1,(B5:B16="Neha")*(K5:K16="Feb"),0))</f>
        <v/>
      </c>
    </row>
    <row r="10">
      <c r="A10" s="16" t="n">
        <v>46100</v>
      </c>
      <c r="B10" s="12" t="inlineStr">
        <is>
          <t>Rahul</t>
        </is>
      </c>
      <c r="C10" s="12" t="inlineStr">
        <is>
          <t>South</t>
        </is>
      </c>
      <c r="D10" s="12" t="inlineStr">
        <is>
          <t>P103</t>
        </is>
      </c>
      <c r="E10" s="12" t="inlineStr">
        <is>
          <t>Backpack</t>
        </is>
      </c>
      <c r="F10" s="12" t="n">
        <v>6</v>
      </c>
      <c r="G10" s="17" t="n">
        <v>28</v>
      </c>
      <c r="H10" s="17">
        <f>F10*G10</f>
        <v/>
      </c>
      <c r="I10" s="18">
        <f>IF(OR(H10&gt;=500,C10="North"),10%,0%)</f>
        <v/>
      </c>
      <c r="J10" s="17">
        <f>H10*(1-I10)</f>
        <v/>
      </c>
      <c r="K10" s="12">
        <f>TEXT(A10,"mmm")</f>
        <v/>
      </c>
      <c r="M10" s="10" t="inlineStr">
        <is>
          <t>Dynamic total (first 6 records)</t>
        </is>
      </c>
      <c r="N10" s="11">
        <f>SUM(OFFSET(H5,0,0,6,1))</f>
        <v/>
      </c>
    </row>
    <row r="11">
      <c r="A11" s="13" t="n">
        <v>46116</v>
      </c>
      <c r="B11" s="9" t="inlineStr">
        <is>
          <t>Omar</t>
        </is>
      </c>
      <c r="C11" s="9" t="inlineStr">
        <is>
          <t>West</t>
        </is>
      </c>
      <c r="D11" s="9" t="inlineStr">
        <is>
          <t>P102</t>
        </is>
      </c>
      <c r="E11" s="9" t="inlineStr">
        <is>
          <t>Pen Set</t>
        </is>
      </c>
      <c r="F11" s="9" t="n">
        <v>60</v>
      </c>
      <c r="G11" s="14" t="n">
        <v>4</v>
      </c>
      <c r="H11" s="14">
        <f>F11*G11</f>
        <v/>
      </c>
      <c r="I11" s="15">
        <f>IF(OR(H11&gt;=500,C11="North"),10%,0%)</f>
        <v/>
      </c>
      <c r="J11" s="14">
        <f>H11*(1-I11)</f>
        <v/>
      </c>
      <c r="K11" s="9">
        <f>TEXT(A11,"mmm")</f>
        <v/>
      </c>
    </row>
    <row r="12">
      <c r="A12" s="16" t="n">
        <v>46134</v>
      </c>
      <c r="B12" s="12" t="inlineStr">
        <is>
          <t>Priya</t>
        </is>
      </c>
      <c r="C12" s="12" t="inlineStr">
        <is>
          <t>East</t>
        </is>
      </c>
      <c r="D12" s="12" t="inlineStr">
        <is>
          <t>P101</t>
        </is>
      </c>
      <c r="E12" s="12" t="inlineStr">
        <is>
          <t>Notebook</t>
        </is>
      </c>
      <c r="F12" s="12" t="n">
        <v>70</v>
      </c>
      <c r="G12" s="17" t="n">
        <v>2.5</v>
      </c>
      <c r="H12" s="17">
        <f>F12*G12</f>
        <v/>
      </c>
      <c r="I12" s="18">
        <f>IF(OR(H12&gt;=500,C12="North"),10%,0%)</f>
        <v/>
      </c>
      <c r="J12" s="17">
        <f>H12*(1-I12)</f>
        <v/>
      </c>
      <c r="K12" s="12">
        <f>TEXT(A12,"mmm")</f>
        <v/>
      </c>
    </row>
    <row r="13">
      <c r="A13" s="13" t="n">
        <v>46152</v>
      </c>
      <c r="B13" s="9" t="inlineStr">
        <is>
          <t>Neha</t>
        </is>
      </c>
      <c r="C13" s="9" t="inlineStr">
        <is>
          <t>North</t>
        </is>
      </c>
      <c r="D13" s="9" t="inlineStr">
        <is>
          <t>P104</t>
        </is>
      </c>
      <c r="E13" s="9" t="inlineStr">
        <is>
          <t>Calculator</t>
        </is>
      </c>
      <c r="F13" s="9" t="n">
        <v>10</v>
      </c>
      <c r="G13" s="14" t="n">
        <v>15</v>
      </c>
      <c r="H13" s="14">
        <f>F13*G13</f>
        <v/>
      </c>
      <c r="I13" s="15">
        <f>IF(OR(H13&gt;=500,C13="North"),10%,0%)</f>
        <v/>
      </c>
      <c r="J13" s="14">
        <f>H13*(1-I13)</f>
        <v/>
      </c>
      <c r="K13" s="9">
        <f>TEXT(A13,"mmm")</f>
        <v/>
      </c>
      <c r="M13" s="8" t="inlineStr">
        <is>
          <t>Lookup salesperson</t>
        </is>
      </c>
    </row>
    <row r="14">
      <c r="A14" s="16" t="n">
        <v>46169</v>
      </c>
      <c r="B14" s="12" t="inlineStr">
        <is>
          <t>Rahul</t>
        </is>
      </c>
      <c r="C14" s="12" t="inlineStr">
        <is>
          <t>South</t>
        </is>
      </c>
      <c r="D14" s="12" t="inlineStr">
        <is>
          <t>P101</t>
        </is>
      </c>
      <c r="E14" s="12" t="inlineStr">
        <is>
          <t>Notebook</t>
        </is>
      </c>
      <c r="F14" s="12" t="n">
        <v>40</v>
      </c>
      <c r="G14" s="17" t="n">
        <v>2.5</v>
      </c>
      <c r="H14" s="17">
        <f>F14*G14</f>
        <v/>
      </c>
      <c r="I14" s="18">
        <f>IF(OR(H14&gt;=500,C14="North"),10%,0%)</f>
        <v/>
      </c>
      <c r="J14" s="17">
        <f>H14*(1-I14)</f>
        <v/>
      </c>
      <c r="K14" s="12">
        <f>TEXT(A14,"mmm")</f>
        <v/>
      </c>
      <c r="M14" s="2" t="inlineStr">
        <is>
          <t>Name</t>
        </is>
      </c>
      <c r="N14" s="2" t="inlineStr">
        <is>
          <t>Neha</t>
        </is>
      </c>
    </row>
    <row r="15">
      <c r="A15" s="13" t="n">
        <v>46179</v>
      </c>
      <c r="B15" s="9" t="inlineStr">
        <is>
          <t>Omar</t>
        </is>
      </c>
      <c r="C15" s="9" t="inlineStr">
        <is>
          <t>West</t>
        </is>
      </c>
      <c r="D15" s="9" t="inlineStr">
        <is>
          <t>P103</t>
        </is>
      </c>
      <c r="E15" s="9" t="inlineStr">
        <is>
          <t>Backpack</t>
        </is>
      </c>
      <c r="F15" s="9" t="n">
        <v>9</v>
      </c>
      <c r="G15" s="14" t="n">
        <v>28</v>
      </c>
      <c r="H15" s="14">
        <f>F15*G15</f>
        <v/>
      </c>
      <c r="I15" s="15">
        <f>IF(OR(H15&gt;=500,C15="North"),10%,0%)</f>
        <v/>
      </c>
      <c r="J15" s="14">
        <f>H15*(1-I15)</f>
        <v/>
      </c>
      <c r="K15" s="9">
        <f>TEXT(A15,"mmm")</f>
        <v/>
      </c>
      <c r="M15" s="2" t="inlineStr">
        <is>
          <t>Total sales</t>
        </is>
      </c>
      <c r="N15" s="2">
        <f>SUMIFS(H5:H16,B5:B16,N14)</f>
        <v/>
      </c>
    </row>
    <row r="16">
      <c r="A16" s="16" t="n">
        <v>46194</v>
      </c>
      <c r="B16" s="12" t="inlineStr">
        <is>
          <t>Priya</t>
        </is>
      </c>
      <c r="C16" s="12" t="inlineStr">
        <is>
          <t>East</t>
        </is>
      </c>
      <c r="D16" s="12" t="inlineStr">
        <is>
          <t>P102</t>
        </is>
      </c>
      <c r="E16" s="12" t="inlineStr">
        <is>
          <t>Pen Set</t>
        </is>
      </c>
      <c r="F16" s="12" t="n">
        <v>35</v>
      </c>
      <c r="G16" s="17" t="n">
        <v>4</v>
      </c>
      <c r="H16" s="17">
        <f>F16*G16</f>
        <v/>
      </c>
      <c r="I16" s="18">
        <f>IF(OR(H16&gt;=500,C16="North"),10%,0%)</f>
        <v/>
      </c>
      <c r="J16" s="17">
        <f>H16*(1-I16)</f>
        <v/>
      </c>
      <c r="K16" s="12">
        <f>TEXT(A16,"mmm")</f>
        <v/>
      </c>
    </row>
  </sheetData>
  <autoFilter ref="A4:K16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K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4" customWidth="1" min="4" max="4"/>
    <col width="12" customWidth="1" min="5" max="5"/>
    <col width="20" customWidth="1" min="6" max="6"/>
    <col width="25" customWidth="1" min="8" max="8"/>
    <col width="20" customWidth="1" min="9" max="9"/>
    <col width="14" customWidth="1" min="10" max="10"/>
    <col width="14" customWidth="1" min="11" max="11"/>
  </cols>
  <sheetData>
    <row r="1" ht="32" customHeight="1">
      <c r="A1" s="6" t="inlineStr">
        <is>
          <t>PRODUCT LOOKUP &amp; PRICING</t>
        </is>
      </c>
    </row>
    <row r="2" ht="22" customHeight="1">
      <c r="A2" s="3" t="inlineStr">
        <is>
          <t>Practice VLOOKUP, XLOOKUP, XMATCH, ROUND, CEILING, FLOOR, and discount eligibility.</t>
        </is>
      </c>
    </row>
    <row r="3"/>
    <row r="4" ht="28" customHeight="1">
      <c r="A4" s="7" t="inlineStr">
        <is>
          <t>Product Code</t>
        </is>
      </c>
      <c r="B4" s="7" t="inlineStr">
        <is>
          <t>Product Name</t>
        </is>
      </c>
      <c r="C4" s="7" t="inlineStr">
        <is>
          <t>Category</t>
        </is>
      </c>
      <c r="D4" s="7" t="inlineStr">
        <is>
          <t>Unit Price</t>
        </is>
      </c>
      <c r="E4" s="7" t="inlineStr">
        <is>
          <t>Stock</t>
        </is>
      </c>
      <c r="F4" s="7" t="inlineStr">
        <is>
          <t>Premium Product?</t>
        </is>
      </c>
      <c r="H4" s="8" t="inlineStr">
        <is>
          <t>Lookup tools</t>
        </is>
      </c>
    </row>
    <row r="5">
      <c r="A5" s="9" t="inlineStr">
        <is>
          <t>P101</t>
        </is>
      </c>
      <c r="B5" s="9" t="inlineStr">
        <is>
          <t>Notebook</t>
        </is>
      </c>
      <c r="C5" s="9" t="inlineStr">
        <is>
          <t>Stationery</t>
        </is>
      </c>
      <c r="D5" s="14" t="n">
        <v>2.5</v>
      </c>
      <c r="E5" s="9" t="n">
        <v>240</v>
      </c>
      <c r="F5" s="9">
        <f>IF(OR(D5&gt;=20,E5&lt;40),"Yes","No")</f>
        <v/>
      </c>
      <c r="H5" s="10" t="inlineStr">
        <is>
          <t>Enter product code</t>
        </is>
      </c>
      <c r="I5" s="11" t="inlineStr">
        <is>
          <t>P103</t>
        </is>
      </c>
    </row>
    <row r="6">
      <c r="A6" s="12" t="inlineStr">
        <is>
          <t>P102</t>
        </is>
      </c>
      <c r="B6" s="12" t="inlineStr">
        <is>
          <t>Pen Set</t>
        </is>
      </c>
      <c r="C6" s="12" t="inlineStr">
        <is>
          <t>Stationery</t>
        </is>
      </c>
      <c r="D6" s="17" t="n">
        <v>4</v>
      </c>
      <c r="E6" s="12" t="n">
        <v>180</v>
      </c>
      <c r="F6" s="12">
        <f>IF(OR(D6&gt;=20,E6&lt;40),"Yes","No")</f>
        <v/>
      </c>
      <c r="H6" s="10" t="inlineStr">
        <is>
          <t>VLOOKUP price</t>
        </is>
      </c>
      <c r="I6" s="11">
        <f>VLOOKUP(I5,A5:F12,4,FALSE)</f>
        <v/>
      </c>
    </row>
    <row r="7">
      <c r="A7" s="9" t="inlineStr">
        <is>
          <t>P103</t>
        </is>
      </c>
      <c r="B7" s="9" t="inlineStr">
        <is>
          <t>Backpack</t>
        </is>
      </c>
      <c r="C7" s="9" t="inlineStr">
        <is>
          <t>Bags</t>
        </is>
      </c>
      <c r="D7" s="14" t="n">
        <v>28</v>
      </c>
      <c r="E7" s="9" t="n">
        <v>45</v>
      </c>
      <c r="F7" s="9">
        <f>IF(OR(D7&gt;=20,E7&lt;40),"Yes","No")</f>
        <v/>
      </c>
      <c r="H7" s="10" t="inlineStr">
        <is>
          <t>XLOOKUP name</t>
        </is>
      </c>
      <c r="I7" s="11">
        <f>XLOOKUP(I5,A5:A12,B5:B12,"Not found")</f>
        <v/>
      </c>
    </row>
    <row r="8">
      <c r="A8" s="12" t="inlineStr">
        <is>
          <t>P104</t>
        </is>
      </c>
      <c r="B8" s="12" t="inlineStr">
        <is>
          <t>Calculator</t>
        </is>
      </c>
      <c r="C8" s="12" t="inlineStr">
        <is>
          <t>Electronics</t>
        </is>
      </c>
      <c r="D8" s="17" t="n">
        <v>15</v>
      </c>
      <c r="E8" s="12" t="n">
        <v>65</v>
      </c>
      <c r="F8" s="12">
        <f>IF(OR(D8&gt;=20,E8&lt;40),"Yes","No")</f>
        <v/>
      </c>
      <c r="H8" s="10" t="inlineStr">
        <is>
          <t>XMATCH position</t>
        </is>
      </c>
      <c r="I8" s="11">
        <f>XMATCH(I5,A5:A12,0)</f>
        <v/>
      </c>
    </row>
    <row r="9">
      <c r="A9" s="9" t="inlineStr">
        <is>
          <t>P105</t>
        </is>
      </c>
      <c r="B9" s="9" t="inlineStr">
        <is>
          <t>Desk Lamp</t>
        </is>
      </c>
      <c r="C9" s="9" t="inlineStr">
        <is>
          <t>Electronics</t>
        </is>
      </c>
      <c r="D9" s="14" t="n">
        <v>22.75</v>
      </c>
      <c r="E9" s="9" t="n">
        <v>32</v>
      </c>
      <c r="F9" s="9">
        <f>IF(OR(D9&gt;=20,E9&lt;40),"Yes","No")</f>
        <v/>
      </c>
      <c r="H9" s="10" t="inlineStr">
        <is>
          <t>Rounded price</t>
        </is>
      </c>
      <c r="I9" s="11">
        <f>ROUND(I6,0)</f>
        <v/>
      </c>
    </row>
    <row r="10">
      <c r="A10" s="12" t="inlineStr">
        <is>
          <t>P106</t>
        </is>
      </c>
      <c r="B10" s="12" t="inlineStr">
        <is>
          <t>Water Bottle</t>
        </is>
      </c>
      <c r="C10" s="12" t="inlineStr">
        <is>
          <t>Accessories</t>
        </is>
      </c>
      <c r="D10" s="17" t="n">
        <v>8.4</v>
      </c>
      <c r="E10" s="12" t="n">
        <v>120</v>
      </c>
      <c r="F10" s="12">
        <f>IF(OR(D10&gt;=20,E10&lt;40),"Yes","No")</f>
        <v/>
      </c>
      <c r="H10" s="10" t="inlineStr">
        <is>
          <t>Ceiling to nearest 5</t>
        </is>
      </c>
      <c r="I10" s="11">
        <f>CEILING(I6,5)</f>
        <v/>
      </c>
    </row>
    <row r="11">
      <c r="A11" s="9" t="inlineStr">
        <is>
          <t>P107</t>
        </is>
      </c>
      <c r="B11" s="9" t="inlineStr">
        <is>
          <t>File Folder</t>
        </is>
      </c>
      <c r="C11" s="9" t="inlineStr">
        <is>
          <t>Stationery</t>
        </is>
      </c>
      <c r="D11" s="14" t="n">
        <v>1.8</v>
      </c>
      <c r="E11" s="9" t="n">
        <v>300</v>
      </c>
      <c r="F11" s="9">
        <f>IF(OR(D11&gt;=20,E11&lt;40),"Yes","No")</f>
        <v/>
      </c>
      <c r="H11" s="10" t="inlineStr">
        <is>
          <t>Floor to nearest 5</t>
        </is>
      </c>
      <c r="I11" s="11">
        <f>FLOOR(I6,5)</f>
        <v/>
      </c>
    </row>
    <row r="12">
      <c r="A12" s="12" t="inlineStr">
        <is>
          <t>P108</t>
        </is>
      </c>
      <c r="B12" s="12" t="inlineStr">
        <is>
          <t>Lunch Box</t>
        </is>
      </c>
      <c r="C12" s="12" t="inlineStr">
        <is>
          <t>Accessories</t>
        </is>
      </c>
      <c r="D12" s="17" t="n">
        <v>11.25</v>
      </c>
      <c r="E12" s="12" t="n">
        <v>78</v>
      </c>
      <c r="F12" s="12">
        <f>IF(OR(D12&gt;=20,E12&lt;40),"Yes","No")</f>
        <v/>
      </c>
    </row>
    <row r="13">
      <c r="H13" s="10" t="inlineStr">
        <is>
          <t>Note</t>
        </is>
      </c>
    </row>
    <row r="14">
      <c r="H14" s="2" t="inlineStr">
        <is>
          <t>Change I5 to another product code to test the lookup formulas.</t>
        </is>
      </c>
    </row>
  </sheetData>
  <mergeCells count="3">
    <mergeCell ref="A2:F2"/>
    <mergeCell ref="H14:K14"/>
    <mergeCell ref="A1:F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M1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14" customWidth="1" min="4" max="4"/>
    <col width="15" customWidth="1" min="5" max="5"/>
    <col width="15" customWidth="1" min="6" max="6"/>
    <col width="17" customWidth="1" min="7" max="7"/>
    <col width="14" customWidth="1" min="8" max="8"/>
    <col width="18" customWidth="1" min="9" max="9"/>
    <col width="14" customWidth="1" min="10" max="10"/>
    <col width="27" customWidth="1" min="12" max="12"/>
    <col width="22" customWidth="1" min="13" max="13"/>
  </cols>
  <sheetData>
    <row r="1" ht="32" customHeight="1">
      <c r="A1" s="6" t="inlineStr">
        <is>
          <t>EMPLOYEE DIRECTORY &amp; DATE ANALYSIS</t>
        </is>
      </c>
    </row>
    <row r="2" ht="22" customHeight="1">
      <c r="A2" s="3" t="inlineStr">
        <is>
          <t>Practice XLOOKUP, INDEX/MATCH, date/time formulas, and dynamic references.</t>
        </is>
      </c>
    </row>
    <row r="3"/>
    <row r="4" ht="28" customHeight="1">
      <c r="A4" s="7" t="inlineStr">
        <is>
          <t>Employee ID</t>
        </is>
      </c>
      <c r="B4" s="7" t="inlineStr">
        <is>
          <t>Employee Name</t>
        </is>
      </c>
      <c r="C4" s="7" t="inlineStr">
        <is>
          <t>Department</t>
        </is>
      </c>
      <c r="D4" s="7" t="inlineStr">
        <is>
          <t>Salary</t>
        </is>
      </c>
      <c r="E4" s="7" t="inlineStr">
        <is>
          <t>Date Joined</t>
        </is>
      </c>
      <c r="F4" s="7" t="inlineStr">
        <is>
          <t>Date of Birth</t>
        </is>
      </c>
      <c r="G4" s="7" t="inlineStr">
        <is>
          <t>Years at Company</t>
        </is>
      </c>
      <c r="H4" s="7" t="inlineStr">
        <is>
          <t>Age (Years)</t>
        </is>
      </c>
      <c r="I4" s="7" t="inlineStr">
        <is>
          <t>Joining Month</t>
        </is>
      </c>
      <c r="J4" s="7" t="inlineStr">
        <is>
          <t>Salary Band</t>
        </is>
      </c>
      <c r="L4" s="8" t="inlineStr">
        <is>
          <t>Employee lookup</t>
        </is>
      </c>
    </row>
    <row r="5">
      <c r="A5" s="9" t="n">
        <v>501</v>
      </c>
      <c r="B5" s="9" t="inlineStr">
        <is>
          <t>Anika Rao</t>
        </is>
      </c>
      <c r="C5" s="9" t="inlineStr">
        <is>
          <t>Sales</t>
        </is>
      </c>
      <c r="D5" s="19" t="n">
        <v>42000</v>
      </c>
      <c r="E5" s="13" t="n">
        <v>44298</v>
      </c>
      <c r="F5" s="13" t="n">
        <v>36028</v>
      </c>
      <c r="G5" s="9">
        <f>DATEDIF(E5,TODAY(),"Y")</f>
        <v/>
      </c>
      <c r="H5" s="9">
        <f>DATEDIF(F5,TODAY(),"Y")</f>
        <v/>
      </c>
      <c r="I5" s="9">
        <f>TEXT(E5,"mmmm")</f>
        <v/>
      </c>
      <c r="J5" s="9">
        <f>IF(D5&gt;=60000,"High",IF(D5&gt;=45000,"Medium","Entry"))</f>
        <v/>
      </c>
      <c r="L5" s="10" t="inlineStr">
        <is>
          <t>Enter Employee ID</t>
        </is>
      </c>
      <c r="M5" s="11" t="n">
        <v>505</v>
      </c>
    </row>
    <row r="6">
      <c r="A6" s="12" t="n">
        <v>502</v>
      </c>
      <c r="B6" s="12" t="inlineStr">
        <is>
          <t>Dev Malhotra</t>
        </is>
      </c>
      <c r="C6" s="12" t="inlineStr">
        <is>
          <t>IT</t>
        </is>
      </c>
      <c r="D6" s="20" t="n">
        <v>58000</v>
      </c>
      <c r="E6" s="16" t="n">
        <v>43711</v>
      </c>
      <c r="F6" s="16" t="n">
        <v>34744</v>
      </c>
      <c r="G6" s="12">
        <f>DATEDIF(E6,TODAY(),"Y")</f>
        <v/>
      </c>
      <c r="H6" s="12">
        <f>DATEDIF(F6,TODAY(),"Y")</f>
        <v/>
      </c>
      <c r="I6" s="12">
        <f>TEXT(E6,"mmmm")</f>
        <v/>
      </c>
      <c r="J6" s="12">
        <f>IF(D6&gt;=60000,"High",IF(D6&gt;=45000,"Medium","Entry"))</f>
        <v/>
      </c>
      <c r="L6" s="10" t="inlineStr">
        <is>
          <t>Employee name</t>
        </is>
      </c>
      <c r="M6" s="11">
        <f>XLOOKUP(M5,A5:A12,B5:B12,"Not found")</f>
        <v/>
      </c>
    </row>
    <row r="7">
      <c r="A7" s="9" t="n">
        <v>503</v>
      </c>
      <c r="B7" s="9" t="inlineStr">
        <is>
          <t>Meera Nair</t>
        </is>
      </c>
      <c r="C7" s="9" t="inlineStr">
        <is>
          <t>HR</t>
        </is>
      </c>
      <c r="D7" s="19" t="n">
        <v>46000</v>
      </c>
      <c r="E7" s="13" t="n">
        <v>44578</v>
      </c>
      <c r="F7" s="13" t="n">
        <v>36470</v>
      </c>
      <c r="G7" s="9">
        <f>DATEDIF(E7,TODAY(),"Y")</f>
        <v/>
      </c>
      <c r="H7" s="9">
        <f>DATEDIF(F7,TODAY(),"Y")</f>
        <v/>
      </c>
      <c r="I7" s="9">
        <f>TEXT(E7,"mmmm")</f>
        <v/>
      </c>
      <c r="J7" s="9">
        <f>IF(D7&gt;=60000,"High",IF(D7&gt;=45000,"Medium","Entry"))</f>
        <v/>
      </c>
      <c r="L7" s="10" t="inlineStr">
        <is>
          <t>Employee salary</t>
        </is>
      </c>
      <c r="M7" s="21">
        <f>XLOOKUP(M5,A5:A12,D5:D12,"Not found")</f>
        <v/>
      </c>
    </row>
    <row r="8">
      <c r="A8" s="12" t="n">
        <v>504</v>
      </c>
      <c r="B8" s="12" t="inlineStr">
        <is>
          <t>Rohan Shah</t>
        </is>
      </c>
      <c r="C8" s="12" t="inlineStr">
        <is>
          <t>Finance</t>
        </is>
      </c>
      <c r="D8" s="20" t="n">
        <v>63000</v>
      </c>
      <c r="E8" s="16" t="n">
        <v>43276</v>
      </c>
      <c r="F8" s="16" t="n">
        <v>34089</v>
      </c>
      <c r="G8" s="12">
        <f>DATEDIF(E8,TODAY(),"Y")</f>
        <v/>
      </c>
      <c r="H8" s="12">
        <f>DATEDIF(F8,TODAY(),"Y")</f>
        <v/>
      </c>
      <c r="I8" s="12">
        <f>TEXT(E8,"mmmm")</f>
        <v/>
      </c>
      <c r="J8" s="12">
        <f>IF(D8&gt;=60000,"High",IF(D8&gt;=45000,"Medium","Entry"))</f>
        <v/>
      </c>
      <c r="L8" s="10" t="inlineStr">
        <is>
          <t>Department</t>
        </is>
      </c>
      <c r="M8" s="11">
        <f>INDEX(C5:C12,MATCH(M5,A5:A12,0))</f>
        <v/>
      </c>
    </row>
    <row r="9">
      <c r="A9" s="9" t="n">
        <v>505</v>
      </c>
      <c r="B9" s="9" t="inlineStr">
        <is>
          <t>Ira Kapoor</t>
        </is>
      </c>
      <c r="C9" s="9" t="inlineStr">
        <is>
          <t>IT</t>
        </is>
      </c>
      <c r="D9" s="19" t="n">
        <v>72000</v>
      </c>
      <c r="E9" s="13" t="n">
        <v>43048</v>
      </c>
      <c r="F9" s="13" t="n">
        <v>33584</v>
      </c>
      <c r="G9" s="9">
        <f>DATEDIF(E9,TODAY(),"Y")</f>
        <v/>
      </c>
      <c r="H9" s="9">
        <f>DATEDIF(F9,TODAY(),"Y")</f>
        <v/>
      </c>
      <c r="I9" s="9">
        <f>TEXT(E9,"mmmm")</f>
        <v/>
      </c>
      <c r="J9" s="9">
        <f>IF(D9&gt;=60000,"High",IF(D9&gt;=45000,"Medium","Entry"))</f>
        <v/>
      </c>
      <c r="L9" s="10" t="inlineStr">
        <is>
          <t>Days since joining</t>
        </is>
      </c>
      <c r="M9" s="11">
        <f>TODAY()-XLOOKUP(M5,A5:A12,E5:E12)</f>
        <v/>
      </c>
    </row>
    <row r="10">
      <c r="A10" s="12" t="n">
        <v>506</v>
      </c>
      <c r="B10" s="12" t="inlineStr">
        <is>
          <t>Kunal Das</t>
        </is>
      </c>
      <c r="C10" s="12" t="inlineStr">
        <is>
          <t>Sales</t>
        </is>
      </c>
      <c r="D10" s="20" t="n">
        <v>39000</v>
      </c>
      <c r="E10" s="16" t="n">
        <v>45005</v>
      </c>
      <c r="F10" s="16" t="n">
        <v>36715</v>
      </c>
      <c r="G10" s="12">
        <f>DATEDIF(E10,TODAY(),"Y")</f>
        <v/>
      </c>
      <c r="H10" s="12">
        <f>DATEDIF(F10,TODAY(),"Y")</f>
        <v/>
      </c>
      <c r="I10" s="12">
        <f>TEXT(E10,"mmmm")</f>
        <v/>
      </c>
      <c r="J10" s="12">
        <f>IF(D10&gt;=60000,"High",IF(D10&gt;=45000,"Medium","Entry"))</f>
        <v/>
      </c>
    </row>
    <row r="11">
      <c r="A11" s="9" t="n">
        <v>507</v>
      </c>
      <c r="B11" s="9" t="inlineStr">
        <is>
          <t>Tara Joshi</t>
        </is>
      </c>
      <c r="C11" s="9" t="inlineStr">
        <is>
          <t>Marketing</t>
        </is>
      </c>
      <c r="D11" s="19" t="n">
        <v>51000</v>
      </c>
      <c r="E11" s="13" t="n">
        <v>44026</v>
      </c>
      <c r="F11" s="13" t="n">
        <v>35508</v>
      </c>
      <c r="G11" s="9">
        <f>DATEDIF(E11,TODAY(),"Y")</f>
        <v/>
      </c>
      <c r="H11" s="9">
        <f>DATEDIF(F11,TODAY(),"Y")</f>
        <v/>
      </c>
      <c r="I11" s="9">
        <f>TEXT(E11,"mmmm")</f>
        <v/>
      </c>
      <c r="J11" s="9">
        <f>IF(D11&gt;=60000,"High",IF(D11&gt;=45000,"Medium","Entry"))</f>
        <v/>
      </c>
      <c r="L11" s="8" t="inlineStr">
        <is>
          <t>Dynamic reference</t>
        </is>
      </c>
    </row>
    <row r="12">
      <c r="A12" s="12" t="n">
        <v>508</v>
      </c>
      <c r="B12" s="12" t="inlineStr">
        <is>
          <t>Aditya Sen</t>
        </is>
      </c>
      <c r="C12" s="12" t="inlineStr">
        <is>
          <t>Finance</t>
        </is>
      </c>
      <c r="D12" s="20" t="n">
        <v>68000</v>
      </c>
      <c r="E12" s="16" t="n">
        <v>42401</v>
      </c>
      <c r="F12" s="16" t="n">
        <v>33148</v>
      </c>
      <c r="G12" s="12">
        <f>DATEDIF(E12,TODAY(),"Y")</f>
        <v/>
      </c>
      <c r="H12" s="12">
        <f>DATEDIF(F12,TODAY(),"Y")</f>
        <v/>
      </c>
      <c r="I12" s="12">
        <f>TEXT(E12,"mmmm")</f>
        <v/>
      </c>
      <c r="J12" s="12">
        <f>IF(D12&gt;=60000,"High",IF(D12&gt;=45000,"Medium","Entry"))</f>
        <v/>
      </c>
      <c r="L12" s="2" t="inlineStr">
        <is>
          <t>Salary total (first 4 rows)</t>
        </is>
      </c>
      <c r="M12" s="22">
        <f>SUM(OFFSET(D5,0,0,4,1))</f>
        <v/>
      </c>
    </row>
  </sheetData>
  <autoFilter ref="A4:J12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F2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2" customWidth="1" min="3" max="3"/>
    <col width="58" customWidth="1" min="4" max="4"/>
    <col width="20" customWidth="1" min="5" max="5"/>
  </cols>
  <sheetData>
    <row r="1" ht="32" customHeight="1">
      <c r="A1" s="6" t="inlineStr">
        <is>
          <t>FORMULA TASK CHECKLIST</t>
        </is>
      </c>
    </row>
    <row r="2" ht="22" customHeight="1">
      <c r="A2" s="3" t="inlineStr">
        <is>
          <t>Use this checklist to review the main skills required in the Fundamental Booster project.</t>
        </is>
      </c>
    </row>
    <row r="3"/>
    <row r="4" ht="28" customHeight="1">
      <c r="A4" s="7" t="inlineStr">
        <is>
          <t>No.</t>
        </is>
      </c>
      <c r="B4" s="7" t="inlineStr">
        <is>
          <t>Skill / Function</t>
        </is>
      </c>
      <c r="C4" s="7" t="inlineStr">
        <is>
          <t>Task</t>
        </is>
      </c>
      <c r="D4" s="7" t="inlineStr">
        <is>
          <t>Example Formula</t>
        </is>
      </c>
      <c r="E4" s="7" t="inlineStr">
        <is>
          <t>Where to practise</t>
        </is>
      </c>
    </row>
    <row r="5">
      <c r="A5" s="9" t="n">
        <v>1</v>
      </c>
      <c r="B5" s="9" t="inlineStr">
        <is>
          <t>Relative &amp; absolute references</t>
        </is>
      </c>
      <c r="C5" s="9" t="inlineStr">
        <is>
          <t>Lock a tax/discount rate in a formula</t>
        </is>
      </c>
      <c r="D5" s="23">
        <f>A2*$B$1</f>
        <v/>
      </c>
      <c r="E5" s="9" t="inlineStr">
        <is>
          <t>Any data sheet</t>
        </is>
      </c>
    </row>
    <row r="6">
      <c r="A6" s="12" t="n">
        <v>2</v>
      </c>
      <c r="B6" s="12" t="inlineStr">
        <is>
          <t>IF / Nested IF</t>
        </is>
      </c>
      <c r="C6" s="12" t="inlineStr">
        <is>
          <t>Classify student grades</t>
        </is>
      </c>
      <c r="D6" s="24">
        <f>IF(G5&gt;=90,"A",IF(G5&gt;=80,"B",IF(G5&gt;=70,"C",IF(G5&gt;=60,"D","F"))))</f>
        <v/>
      </c>
      <c r="E6" s="12" t="inlineStr">
        <is>
          <t>Student Data</t>
        </is>
      </c>
    </row>
    <row r="7">
      <c r="A7" s="9" t="n">
        <v>3</v>
      </c>
      <c r="B7" s="9" t="inlineStr">
        <is>
          <t>IF + AND</t>
        </is>
      </c>
      <c r="C7" s="9" t="inlineStr">
        <is>
          <t>Check Math and Science both above 80</t>
        </is>
      </c>
      <c r="D7" s="23">
        <f>IF(AND(C5&gt;80,D5&gt;80),"Yes","No")</f>
        <v/>
      </c>
      <c r="E7" s="9" t="inlineStr">
        <is>
          <t>Student Data</t>
        </is>
      </c>
    </row>
    <row r="8">
      <c r="A8" s="12" t="n">
        <v>4</v>
      </c>
      <c r="B8" s="12" t="inlineStr">
        <is>
          <t>IF + OR</t>
        </is>
      </c>
      <c r="C8" s="12" t="inlineStr">
        <is>
          <t>Check discount eligibility</t>
        </is>
      </c>
      <c r="D8" s="24">
        <f>IF(OR(H5&gt;=500,C5="North"),10%,0%)</f>
        <v/>
      </c>
      <c r="E8" s="12" t="inlineStr">
        <is>
          <t>Sales Data</t>
        </is>
      </c>
    </row>
    <row r="9">
      <c r="A9" s="9" t="n">
        <v>5</v>
      </c>
      <c r="B9" s="9" t="inlineStr">
        <is>
          <t>COUNTIFS</t>
        </is>
      </c>
      <c r="C9" s="9" t="inlineStr">
        <is>
          <t>Count students scoring above 60</t>
        </is>
      </c>
      <c r="D9" s="23">
        <f>COUNTIFS(G5:G16,"&gt;60")</f>
        <v/>
      </c>
      <c r="E9" s="9" t="inlineStr">
        <is>
          <t>Student Data</t>
        </is>
      </c>
    </row>
    <row r="10">
      <c r="A10" s="12" t="n">
        <v>6</v>
      </c>
      <c r="B10" s="12" t="inlineStr">
        <is>
          <t>SUMIFS</t>
        </is>
      </c>
      <c r="C10" s="12" t="inlineStr">
        <is>
          <t>Sum North-region Notebook sales</t>
        </is>
      </c>
      <c r="D10" s="24">
        <f>SUMIFS(H5:H16,C5:C16,"North",E5:E16,"Notebook")</f>
        <v/>
      </c>
      <c r="E10" s="12" t="inlineStr">
        <is>
          <t>Sales Data</t>
        </is>
      </c>
    </row>
    <row r="11">
      <c r="A11" s="9" t="n">
        <v>7</v>
      </c>
      <c r="B11" s="9" t="inlineStr">
        <is>
          <t>AVERAGEIFS</t>
        </is>
      </c>
      <c r="C11" s="9" t="inlineStr">
        <is>
          <t>Average scores above 60</t>
        </is>
      </c>
      <c r="D11" s="23">
        <f>AVERAGEIFS(G5:G16,G5:G16,"&gt;60")</f>
        <v/>
      </c>
      <c r="E11" s="9" t="inlineStr">
        <is>
          <t>Student Data</t>
        </is>
      </c>
    </row>
    <row r="12">
      <c r="A12" s="12" t="n">
        <v>8</v>
      </c>
      <c r="B12" s="12" t="inlineStr">
        <is>
          <t>VLOOKUP</t>
        </is>
      </c>
      <c r="C12" s="12" t="inlineStr">
        <is>
          <t>Fetch a product price from code</t>
        </is>
      </c>
      <c r="D12" s="24">
        <f>VLOOKUP(I5,A5:F12,4,FALSE)</f>
        <v/>
      </c>
      <c r="E12" s="12" t="inlineStr">
        <is>
          <t>Product Data</t>
        </is>
      </c>
    </row>
    <row r="13">
      <c r="A13" s="9" t="n">
        <v>9</v>
      </c>
      <c r="B13" s="9" t="inlineStr">
        <is>
          <t>XLOOKUP</t>
        </is>
      </c>
      <c r="C13" s="9" t="inlineStr">
        <is>
          <t>Fetch employee salary dynamically</t>
        </is>
      </c>
      <c r="D13" s="23">
        <f>XLOOKUP(M5,A5:A12,D5:D12,"Not found")</f>
        <v/>
      </c>
      <c r="E13" s="9" t="inlineStr">
        <is>
          <t>Employee Data</t>
        </is>
      </c>
    </row>
    <row r="14">
      <c r="A14" s="12" t="n">
        <v>10</v>
      </c>
      <c r="B14" s="12" t="inlineStr">
        <is>
          <t>INDEX/MATCH</t>
        </is>
      </c>
      <c r="C14" s="12" t="inlineStr">
        <is>
          <t>Find sales for a salesperson/month</t>
        </is>
      </c>
      <c r="D14" s="24">
        <f>INDEX(H5:H16,MATCH(1,(B5:B16="Neha")*(K5:K16="Feb"),0))</f>
        <v/>
      </c>
      <c r="E14" s="12" t="inlineStr">
        <is>
          <t>Sales Data</t>
        </is>
      </c>
    </row>
    <row r="15">
      <c r="A15" s="9" t="n">
        <v>11</v>
      </c>
      <c r="B15" s="9" t="inlineStr">
        <is>
          <t>XMATCH</t>
        </is>
      </c>
      <c r="C15" s="9" t="inlineStr">
        <is>
          <t>Find a product position in a list</t>
        </is>
      </c>
      <c r="D15" s="23">
        <f>XMATCH(I5,A5:A12,0)</f>
        <v/>
      </c>
      <c r="E15" s="9" t="inlineStr">
        <is>
          <t>Product Data</t>
        </is>
      </c>
    </row>
    <row r="16">
      <c r="A16" s="12" t="n">
        <v>12</v>
      </c>
      <c r="B16" s="12" t="inlineStr">
        <is>
          <t>TEXT / LEFT / FIND</t>
        </is>
      </c>
      <c r="C16" s="12" t="inlineStr">
        <is>
          <t>Extract first name and uppercase name</t>
        </is>
      </c>
      <c r="D16" s="24">
        <f>LEFT(B5,FIND(" ",B5&amp;" ")-1)</f>
        <v/>
      </c>
      <c r="E16" s="12" t="inlineStr">
        <is>
          <t>Student Data</t>
        </is>
      </c>
    </row>
    <row r="17">
      <c r="A17" s="9" t="n">
        <v>13</v>
      </c>
      <c r="B17" s="9" t="inlineStr">
        <is>
          <t>INDIRECT</t>
        </is>
      </c>
      <c r="C17" s="9" t="inlineStr">
        <is>
          <t>Reference a range stored as text</t>
        </is>
      </c>
      <c r="D17" s="23">
        <f>SUM(INDIRECT("H5:H10"))</f>
        <v/>
      </c>
      <c r="E17" s="9" t="inlineStr">
        <is>
          <t>Sales Data</t>
        </is>
      </c>
    </row>
    <row r="18">
      <c r="A18" s="12" t="n">
        <v>14</v>
      </c>
      <c r="B18" s="12" t="inlineStr">
        <is>
          <t>OFFSET</t>
        </is>
      </c>
      <c r="C18" s="12" t="inlineStr">
        <is>
          <t>Sum a dynamic range</t>
        </is>
      </c>
      <c r="D18" s="24">
        <f>SUM(OFFSET(H5,0,0,6,1))</f>
        <v/>
      </c>
      <c r="E18" s="12" t="inlineStr">
        <is>
          <t>Sales Data</t>
        </is>
      </c>
    </row>
    <row r="19">
      <c r="A19" s="9" t="n">
        <v>15</v>
      </c>
      <c r="B19" s="9" t="inlineStr">
        <is>
          <t>Date &amp; Time</t>
        </is>
      </c>
      <c r="C19" s="9" t="inlineStr">
        <is>
          <t>Calculate age from date of birth</t>
        </is>
      </c>
      <c r="D19" s="23">
        <f>DATEDIF(F5,TODAY(),"Y")</f>
        <v/>
      </c>
      <c r="E19" s="9" t="inlineStr">
        <is>
          <t>Employee Data</t>
        </is>
      </c>
    </row>
    <row r="20">
      <c r="A20" s="12" t="n">
        <v>16</v>
      </c>
      <c r="B20" s="12" t="inlineStr">
        <is>
          <t>Date difference</t>
        </is>
      </c>
      <c r="C20" s="12" t="inlineStr">
        <is>
          <t>Find days since joining</t>
        </is>
      </c>
      <c r="D20" s="24">
        <f>TODAY()-E5</f>
        <v/>
      </c>
      <c r="E20" s="12" t="inlineStr">
        <is>
          <t>Employee Data</t>
        </is>
      </c>
    </row>
    <row r="21">
      <c r="A21" s="9" t="n">
        <v>17</v>
      </c>
      <c r="B21" s="9" t="inlineStr">
        <is>
          <t>ROUND / CEILING / FLOOR</t>
        </is>
      </c>
      <c r="C21" s="9" t="inlineStr">
        <is>
          <t>Apply financial rounding</t>
        </is>
      </c>
      <c r="D21" s="23">
        <f>ROUND(D5,0)</f>
        <v/>
      </c>
      <c r="E21" s="9" t="inlineStr">
        <is>
          <t>Product Data</t>
        </is>
      </c>
    </row>
    <row r="22">
      <c r="A22" s="12" t="n">
        <v>18</v>
      </c>
      <c r="B22" s="12" t="inlineStr">
        <is>
          <t>FILTER</t>
        </is>
      </c>
      <c r="C22" s="12" t="inlineStr">
        <is>
          <t>Extract students with average above 80</t>
        </is>
      </c>
      <c r="D22" s="24">
        <f>FILTER(A5:L16,G5:G16&gt;80,"No matching students")</f>
        <v/>
      </c>
      <c r="E22" s="12" t="inlineStr">
        <is>
          <t>Student Data</t>
        </is>
      </c>
    </row>
  </sheetData>
  <autoFilter ref="A4:E22"/>
  <mergeCells count="2">
    <mergeCell ref="A2:F2"/>
    <mergeCell ref="A1:F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2026-10-11T07:16:16Z</dcterms:created>
  <dcterms:modified xmlns:dcterms="http://purl.org/dc/terms/" xmlns:xsi="http://www.w3.org/2001/XMLSchema-instance" xsi:type="dcterms:W3CDTF">2026-10-11T07:16:16Z</dcterms:modified>
</cp:coreProperties>
</file>